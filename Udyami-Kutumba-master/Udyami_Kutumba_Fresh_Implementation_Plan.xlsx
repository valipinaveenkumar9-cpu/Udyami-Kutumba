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urrent State" sheetId="2" state="visible" r:id="rId4"/>
    <sheet name="Notification Detail" sheetId="3" state="visible" r:id="rId5"/>
    <sheet name="AI Compression" sheetId="4" state="visible" r:id="rId6"/>
    <sheet name="Plan 1 - Actual Effort" sheetId="5" state="visible" r:id="rId7"/>
    <sheet name="Plan 2 - 45 Day Plan" sheetId="6" state="visible" r:id="rId8"/>
    <sheet name="Plan 3 - 11 Sep-10 Oct" sheetId="7" state="visible" r:id="rId9"/>
    <sheet name="Risks &amp; Dependenci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<sst xmlns="http://schemas.openxmlformats.org/spreadsheetml/2006/main" count="188" uniqueCount="177">
  <si>
    <t xml:space="preserve">Udyami Kutumba — Fresh Implementation Plan</t>
  </si>
  <si>
    <t xml:space="preserve">Prepared 11 September 2026, from an independent pass through the live codebase at D:\DigiNik\Apps\udyamikutumba. Every number in this workbook was pulled directly from the current files this session.</t>
  </si>
  <si>
    <t xml:space="preserve">Method note</t>
  </si>
  <si>
    <t xml:space="preserve">The on-device shell was unreachable this session (a known Windows-update mounting issue), so files were pulled into a working copy and searched there instead of running grep directly on the disk — same source files, same result.</t>
  </si>
  <si>
    <t xml:space="preserve">The two ticket IDs</t>
  </si>
  <si>
    <t xml:space="preserve">963fb9ce-2cc8-41d7-b60e-d4293954e509 (notifications backend) and ead85da9-1d41-430e-9b71-13b98364c6b5 (API optimization) do not appear anywhere in the project folder — root, .scratch, scratch, or payloads. Every estimate here is built purely from what today's code shows. Share either ticket if it carries scope not visible in the app yet.</t>
  </si>
  <si>
    <t xml:space="preserve">Team assumption</t>
  </si>
  <si>
    <t xml:space="preserve">2 Flutter developers working in parallel, plus a backend developer delivering the notification, role-revoke, and family-linking APIs alongside. Scale durations roughly inversely if the real team is smaller or larger.</t>
  </si>
  <si>
    <t xml:space="preserve">AI-assisted coding</t>
  </si>
  <si>
    <t xml:space="preserve">Every estimate in this workbook — Plan 1, Plan 2, and Plan 3 alike — already assumes AI-assisted coding (Claude/Gemini-style pair programming) for the engineering work. It is not a further discount on top of these numbers; it is baked into them. The 'AI Compression' tab shows what the same work would cost without that assistance.</t>
  </si>
  <si>
    <t xml:space="preserve">Correction applied this revision</t>
  </si>
  <si>
    <t xml:space="preserve">"Notifications — core system + push infrastructure" was re-priced down from 9–13 days to 1.5–3 days, per your note that a first working cut of this is largely boilerplate. Every total in this workbook has been recalculated with that change — see the Plan tabs and the Notification Detail tab for where the saved time was reallocated.</t>
  </si>
  <si>
    <t xml:space="preserve">How to read the numbers</t>
  </si>
  <si>
    <t xml:space="preserve">Min/Max columns are hand-entered estimates (blue text = input); Total rows are formulas (black text) that sum them, so if you adjust any input the totals recalculate automatically.</t>
  </si>
  <si>
    <t xml:space="preserve">Tabs in this workbook</t>
  </si>
  <si>
    <t xml:space="preserve">1. Current State — what the code shows today, per feature area</t>
  </si>
  <si>
    <t xml:space="preserve">2. Notification Detail — the ~64 trigger types mapped to real screens, with time breakdown</t>
  </si>
  <si>
    <t xml:space="preserve">3. AI Compression — with vs without AI-assisted coding</t>
  </si>
  <si>
    <t xml:space="preserve">4. Plan 1 - Actual Effort — full engineering effort, AI-assisted, person-days</t>
  </si>
  <si>
    <t xml:space="preserve">5. Plan 2 - 45 Day Plan — phased plan to ~25 Oct 2026, with what's still pending at day 45</t>
  </si>
  <si>
    <t xml:space="preserve">6. Plan 3 - 11 Sep-10 Oct — status against the client's requested date, with what's pending after</t>
  </si>
  <si>
    <t xml:space="preserve">7. Risks &amp; Dependencies</t>
  </si>
  <si>
    <t xml:space="preserve">What today's code actually shows</t>
  </si>
  <si>
    <t xml:space="preserve">Verified directly against the live files this session — not carried over from any earlier document.</t>
  </si>
  <si>
    <t xml:space="preserve">Area</t>
  </si>
  <si>
    <t xml:space="preserve">Verified state</t>
  </si>
  <si>
    <t xml:space="preserve">Leads — Own (My Leads)</t>
  </si>
  <si>
    <t xml:space="preserve">Built and wired (my_leads_screen.dart, 19.4 KB, no TODOs found): tabs for given/received leads, calls LeadAPI.getAllLeads(), navigates into LeadDetailScreen, links to passleadscreen.dart to create a new lead. This contradicts the "still needs doing" framing — functionally complete today, needs polish/edge cases, not a rebuild. Worth confirming in case a different "Own" requirement is intended.</t>
  </si>
  <si>
    <t xml:space="preserve">Leads — B2B / B2C / Social Channel / Communication / UBN</t>
  </si>
  <si>
    <t xml:space="preserve">Functionally live already via two paths: (1) lead_management_screen.dart (64 KB) is a real unified dashboard — fetches live counts from RequirementsAPI.getB2CRequirements/getB2BRequirements, LeadAPI, and CommunicationsAPI().getAllCampaigns(), and routes into fully-built screens (communications_screen.dart 28.9 KB, social_channels_screen.dart 14.8 KB + campaigns_screen.dart 44 KB, requirements_screen.dart 9.7 KB, the UBN/UCN subscription flow). (2) The five files that look like dedicated per-source screens (b2b/b2c/manual/social_media/ucn_management_screen.dart) are all 2 bytes and, confirmed by a project-wide search, imported and navigated to from nowhere in the app — dead scaffolding, not pending work. Matches what you said: these five are already done, in substance.</t>
  </si>
  <si>
    <t xml:space="preserve">Leads — AI Leads</t>
  </si>
  <si>
    <t xml:space="preserve">Two separate implementations exist side by side: (a) lead_detail_screen.dart genuinely calls LeadAPI.getMatchedLeads(userId) — a real GET /bni-lead/matched/{userId} call — and renders matches with proper loading/empty states. Wired in from member_leads_screen.dart and my_leads_screen.dart, so every lead detail already shows a live AI Leads section. This is the UBN-based passed-lead suggestion code you were thinking of. (b) ai_lead_gen_screen.dart is a separate, unwired screen with 2 hardcoded rows and a dead "Scan for new matches" button — confirmed never navigated to from anywhere in the app.</t>
  </si>
  <si>
    <t xml:space="preserve">Notifications</t>
  </si>
  <si>
    <t xml:space="preserve">notifications_screen.dart is a static list of exactly 9 hardcoded cards — no API client, no read/unread state, no per-module counts. main_screen.dart opens it from a plain bell icon with no badge at all. pubspec.yaml has no push package of any kind (firebase_messaging, flutter_local_notifications, etc. — none present) — push delivery itself doesn't exist yet either. swagger.json (parsed fresh: 269 paths / 274 operations / 42 tags) has no Notification tag. From-scratch build: frontend, push infrastructure, and backend.</t>
  </si>
  <si>
    <t xml:space="preserve">Sector selection</t>
  </si>
  <si>
    <t xml:space="preserve">SectorAPI (13 methods, all verified) already supports the 3-level flow end to end — getAllSubSubSectors(subSectorId) and createOther for all three levels exist and work. passleadscreen.dart is the one screen already using all of it, including a working "create Sector + Sub-Sector + Sub-Sub-Sector" dialog — the reference pattern. SectorAPI() is instantiated in 10 files total; only 4 have a real cascading Sector -&gt; Sub-Sector dropdown needing the third level: signup_screen.dart, profile_screen.dart, create_sector_request_screen.dart, invite_to_ucn_screen.dart. The other 5 (sector_team_screen.dart, directory_screen.dart — simple string filters; sector_dashboard_screen.dart, my_sector_requests_screen.dart, sector_join_review_screen.dart — display/approve-reject only) don't need this change. ProfileDataModel has no sub-sub-category field yet, so a small model addition rides along.</t>
  </si>
  <si>
    <t xml:space="preserve">Profile / family matching</t>
  </si>
  <si>
    <t xml:space="preserve">UserModel has mobileNumber (the natural key for phone-based matching). ProfileDataModel.spouse is a plain free-text string — no phone number, no account reference, confirmed by reading the full model. No invite/link code exists anywhere. Net-new feature end to end: backend invite/link endpoints and a linked-account data model, plus the frontend invite flow, pending-invite state, accept flow, and the "tap spouse's card to see their business" view.</t>
  </si>
  <si>
    <t xml:space="preserve">Primary/secondary address</t>
  </si>
  <si>
    <t xml:space="preserve">The data already exists — homeAddress/homeLatitude/homeLongitude and businessDetails.businessAddress/latitude/longitude both live on the profile today — but no flag exists for "which is the public default." Geofencing is already confirmed business-only: member_map_screen.dart and geofence_screen.dart both read location strictly from biz['latitude']/biz['longitude'], so existing behavior needs no change — just an explicit rule that the toggle must not touch it.</t>
  </si>
  <si>
    <t xml:space="preserve">API optimization</t>
  </si>
  <si>
    <t xml:space="preserve">timed_http.dart wraps every raw http call with a stopwatch and an UNCONDITIONAL print of elapsed seconds — runs in every build, not just debug, itself worth fixing. 12 (not 11) print_*.js codegen scripts each inject extra DEV DEBUG lines into one specific screen to trace slow calls. A direct search of lib/core/api for cache/Hive found nothing — no caching, de-duplication, or pagination exists yet. The 28 files under lib/core/api contain 188 call sites, 20 of which are internal plumbing, leaving 168 real per-endpoint calls across the other 26 client files, plus 15+ more in feature-level clients outside core/api. Roughly 180–190 endpoints wired today against the 274 the backend exposes (about two-thirds) — higher coverage than a guess would suggest, but the optimization work itself hasn't started.</t>
  </si>
  <si>
    <t xml:space="preserve">AI Leads recommendation</t>
  </si>
  <si>
    <t xml:space="preserve">Build ONE consolidated screen, and leave the existing contextual section alone. Revive ai_lead_gen_screen.dart as the single "AI Leads" home, wired to the same getMatchedLeads(userId) call already proven working inside lead_detail_screen.dart — de-risked twice over. Keep the working section inside LeadDetailScreen exactly as it is. The matched-leads endpoint returns one ranked list with no source split, so it's naturally a single feed, not five; the accept flow can reuse passleadscreen.dart's existing auto-fill logic once, not five times; there's still no dedicated "dismiss" endpoint, so either repurpose updateLeadStatus with a new status value or add a small endpoint.</t>
  </si>
  <si>
    <t xml:space="preserve">Notifications — the full sweep</t>
  </si>
  <si>
    <t xml:space="preserve">Every feature folder in lib/features and every API tag in swagger.json, mapped to plausible trigger types.</t>
  </si>
  <si>
    <t xml:space="preserve">#</t>
  </si>
  <si>
    <t xml:space="preserve">Module (screens it maps to)</t>
  </si>
  <si>
    <t xml:space="preserve">Trigger types</t>
  </si>
  <si>
    <t xml:space="preserve">Count</t>
  </si>
  <si>
    <t xml:space="preserve">Feed / Posts (post_screen.dart, post_detail_screen.dart, my_posts_screen.dart)</t>
  </si>
  <si>
    <t xml:space="preserve">new comment, new like, new follower, new post from someone you follow, post shared</t>
  </si>
  <si>
    <t xml:space="preserve">Directory / digital card (directory_screen.dart, member_detail_screen.dart, cards_screen.dart)</t>
  </si>
  <si>
    <t xml:space="preserve">connection request received, connection accepted, your card viewed</t>
  </si>
  <si>
    <t xml:space="preserve">Roles &amp; Circles (manage_roles_screen.dart, assembly_roles_screen.dart, circle_roles_screen.dart)</t>
  </si>
  <si>
    <t xml:space="preserve">assigned to a role, assignment confirmed by admin, role changed/removed. NOTE: RoleAPI today only has assignRole/getAllRoles/getAllRoleUsers — no remove/revoke-role endpoint exists yet, so the "removed" trigger needs that endpoint built first.</t>
  </si>
  <si>
    <t xml:space="preserve">Leads — Own + B2B/B2C/Social/UBN + AI (my_leads_screen.dart, lead_detail_screen.dart, lead_appeals_screen.dart)</t>
  </si>
  <si>
    <t xml:space="preserve">lead assigned to you, lead status changed, appeal submitted/responded, lead converted, gratitude pending, new AI match found</t>
  </si>
  <si>
    <t xml:space="preserve">Meetings &amp; Face-to-Face (meetings_screen.dart, face_to_face_screen.dart, scan_attendance_qr_screen.dart)</t>
  </si>
  <si>
    <t xml:space="preserve">meeting scheduled, reminder, rescheduled, cancelled, F2F request, F2F confirmed, attendance/QR check-in confirmed</t>
  </si>
  <si>
    <t xml:space="preserve">Sector join requests (create_sector_request_screen.dart, sector_join_review_screen.dart)</t>
  </si>
  <si>
    <t xml:space="preserve">submitted, endorsed, approved, rejected, new business tag created</t>
  </si>
  <si>
    <t xml:space="preserve">Gratitude (gratitude_screen.dart, gratitude_history_screen.dart)</t>
  </si>
  <si>
    <t xml:space="preserve">gratitude slip received, milestone reached</t>
  </si>
  <si>
    <t xml:space="preserve">Hall booking &amp; Guests (hall_coordinator_screen.dart, guests_screen.dart)</t>
  </si>
  <si>
    <t xml:space="preserve">booking confirmed/rejected, guest invited, RSVP received, checked in</t>
  </si>
  <si>
    <t xml:space="preserve">Membership, wallet &amp; campaigns (ucn_subscription_screen.dart, recharge_coins_screen.dart, campaign_detail_screen.dart)</t>
  </si>
  <si>
    <t xml:space="preserve">renewal due, payment received/failed, wallet low/recharged, campaign delivered/failed, financial summary ready</t>
  </si>
  <si>
    <t xml:space="preserve">Jobs &amp; applications (jobs_screen.dart, job_apply_screen.dart, my_application_sceen.dart)</t>
  </si>
  <si>
    <t xml:space="preserve">new matching job posted, application received, application status changed, job post approved/rejected</t>
  </si>
  <si>
    <t xml:space="preserve">Requirements — B2B/B2C matching (requirements_screen.dart, my_requirements_screen.dart)</t>
  </si>
  <si>
    <t xml:space="preserve">new requirement matches your business, response received</t>
  </si>
  <si>
    <t xml:space="preserve">UQueens, training &amp; programmes (uqueens_screen.dart, training_screen.dart, childrens_programme.dart, prince_princess_programme.dart)</t>
  </si>
  <si>
    <t xml:space="preserve">registration open, training reminder, certificate/milestone ready</t>
  </si>
  <si>
    <t xml:space="preserve">Ward/Assembly/leaderboards (ward_screen.dart, leader_board_screen.dart, assembly_leaderboard_screen.dart)</t>
  </si>
  <si>
    <t xml:space="preserve">ward rank changed, new member joined your ward, scorecard updated, points milestone reached</t>
  </si>
  <si>
    <t xml:space="preserve">News (news_screen.dart, news_management_dashboard_screen.dart)</t>
  </si>
  <si>
    <t xml:space="preserve">new news/announcement relevant to your ward/sector</t>
  </si>
  <si>
    <t xml:space="preserve">Social channels &amp; incidents (incidents_screen.dart, review_approvals_screen.dart, storage_screen.dart)</t>
  </si>
  <si>
    <t xml:space="preserve">incident reported/resolved, content pending your review, storage limit approaching</t>
  </si>
  <si>
    <t xml:space="preserve">Onboarding / profile (profile_screen.dart, signup_screen.dart)</t>
  </si>
  <si>
    <t xml:space="preserve">profile approved/verified, missing-field reminder, family member linked (once profile-matching ships)</t>
  </si>
  <si>
    <t xml:space="preserve">Surveys, referrals &amp; system messages</t>
  </si>
  <si>
    <t xml:space="preserve">survey available, referral bonus earned, important SMS/email delivered as in-app notice</t>
  </si>
  <si>
    <t xml:space="preserve">Total distinct trigger types</t>
  </si>
  <si>
    <t xml:space="preserve">Time required, in its three genuinely different pieces</t>
  </si>
  <si>
    <t xml:space="preserve">Piece</t>
  </si>
  <si>
    <t xml:space="preserve">Min days</t>
  </si>
  <si>
    <t xml:space="preserve">Max days</t>
  </si>
  <si>
    <t xml:space="preserve">Notes</t>
  </si>
  <si>
    <t xml:space="preserve">Core notification system (first working cut)</t>
  </si>
  <si>
    <t xml:space="preserve">firebase_messaging/local-notification handling wired from zero, a live feed screen backed by one list endpoint, basic unread/read state, a bell badge. Re-priced down from an original 9-13 days per your note — largely boilerplate once the backend exposes even a minimal list endpoint. Per-module badges, a full settings screen, and deep-link routing into every trigger type are tracked in the row below.</t>
  </si>
  <si>
    <t xml:space="preserve">Wiring all ~64 trigger types across 17 modules</t>
  </si>
  <si>
    <t xml:space="preserve">Each type needs a backend event or client trigger, a card template, a deep link, and on-device verification. AI assistance speeds up writing the repetitive per-type code, but each type still has to be fired and checked on a device. The role-removal trigger can't be verified until the missing RoleAPI revoke endpoint exists.</t>
  </si>
  <si>
    <t xml:space="preserve">Play Store internal/closed testing (elapsed)</t>
  </si>
  <si>
    <t xml:space="preserve">Review queue + minimum real-tester soak period before production. Independent of trigger count or coding speed — Google's clock, not the dev team's. Can run in parallel with other work.</t>
  </si>
  <si>
    <t xml:space="preserve">Total for notifications alone</t>
  </si>
  <si>
    <t xml:space="preserve">6-10 of this is elapsed waiting time that overlaps other work, not pure engineering time.</t>
  </si>
  <si>
    <t xml:space="preserve">Does AI-assisted coding change the numbers?</t>
  </si>
  <si>
    <t xml:space="preserve">It compresses the mechanical, pattern-heavy parts by roughly 25-35%. It does NOT compress Play Store review/soak time, backend delivery schedules, family-linking UX judgment calls, or on-device verification of each notification trigger.</t>
  </si>
  <si>
    <t xml:space="preserve">Without AI assistance (person-days)</t>
  </si>
  <si>
    <t xml:space="preserve">With AI-assisted coding (person-days)</t>
  </si>
  <si>
    <t xml:space="preserve">Core engineering effort (all 6 feature areas)</t>
  </si>
  <si>
    <t xml:space="preserve">61-94</t>
  </si>
  <si>
    <t xml:space="preserve">43-66</t>
  </si>
  <si>
    <t xml:space="preserve">Play Store elapsed/waiting time (not compressible)</t>
  </si>
  <si>
    <t xml:space="preserve">6-10</t>
  </si>
  <si>
    <t xml:space="preserve">Grand total (range)</t>
  </si>
  <si>
    <t xml:space="preserve">67-104</t>
  </si>
  <si>
    <t xml:space="preserve">49-76</t>
  </si>
  <si>
    <t xml:space="preserve">Both columns are lower than an earlier pass of this table, purely because the notification core-system line was corrected from 9-13 days down to 1.5-3 days — nothing else changed. Ranges are entered as text here because each side combines several independently-ranged line items from the Plan tabs; see those tabs for the underlying per-item formulas.</t>
  </si>
  <si>
    <t xml:space="preserve">Plan 1 — Actual effort needed</t>
  </si>
  <si>
    <t xml:space="preserve">AI-assisted, sequential person-days. This is the honest total engineering effort for all six feature areas if it were done as pure sequential effort with no parallelization.</t>
  </si>
  <si>
    <t xml:space="preserve">Feature</t>
  </si>
  <si>
    <t xml:space="preserve">Leads — Own: polish, edge/empty states (already built, not a rebuild)</t>
  </si>
  <si>
    <t xml:space="preserve">Leads — B2B/B2C/Social/Communication/UBN: delete the 5 orphaned stub files, confirm existing dashboard + full screens cover the need</t>
  </si>
  <si>
    <t xml:space="preserve">Leads — AI Leads: consolidated screen wired to getMatchedLeads, accept/dismiss, keep the existing contextual section</t>
  </si>
  <si>
    <t xml:space="preserve">Notifications — core system + push infrastructure (REVISED per your note: was 9-13 days)</t>
  </si>
  <si>
    <t xml:space="preserve">Notifications — wiring ~60-65 trigger types</t>
  </si>
  <si>
    <t xml:space="preserve">Notifications — Play Store testing cycle (elapsed, parallelizable)</t>
  </si>
  <si>
    <t xml:space="preserve">Profile matching — family/spouse linked accounts, invite, tap-through, multi-member</t>
  </si>
  <si>
    <t xml:space="preserve">Primary/secondary address toggle + updating ~4 display surfaces</t>
  </si>
  <si>
    <t xml:space="preserve">API optimization — gate/remove always-on debug prints, then cache/paginate/de-dupe across ~180-190 wired calls</t>
  </si>
  <si>
    <t xml:space="preserve">Sector sub-sub-sector rollout — 4 confirmed screens + small model field</t>
  </si>
  <si>
    <t xml:space="preserve">Total (person-days, AI-assisted)</t>
  </si>
  <si>
    <t xml:space="preserve">With 2 developers running independent tracks in parallel and backend delivering notifications/role-revoke/family-link APIs on its own schedule, this compresses to roughly 29-45 calendar days before final QA and release — about 3-5 days tighter than before this revision, purely from the notification core-system correction.</t>
  </si>
  <si>
    <t xml:space="preserve">Plan 2 — 45 calendar days</t>
  </si>
  <si>
    <t xml:space="preserve">Target finish approx. 25 October 2026. AI-assisted throughout — see Read Me tab. Tight scope: both developers fully dedicated, backend delivers notification + family-link + role-revoke APIs on schedule, Play Store beta cycle overlapped with the final QA week.</t>
  </si>
  <si>
    <t xml:space="preserve">Phase</t>
  </si>
  <si>
    <t xml:space="preserve">Days</t>
  </si>
  <si>
    <t xml:space="preserve">Deliverables</t>
  </si>
  <si>
    <t xml:space="preserve">Phase 1</t>
  </si>
  <si>
    <t xml:space="preserve">1-7</t>
  </si>
  <si>
    <t xml:space="preserve">Sector sub-sub-sector rollout (4 screens); primary/secondary address toggle + display logic; delete the 5 orphaned lead-management stubs; notifications core system + push infrastructure built (now a 1.5-3 day item, so it lands early); backend starts on notification, role-revoke, and family-link APIs in parallel.</t>
  </si>
  <si>
    <t xml:space="preserve">Phase 2</t>
  </si>
  <si>
    <t xml:space="preserve">6-16</t>
  </si>
  <si>
    <t xml:space="preserve">Leads: Own finalized, AI Leads consolidated screen wired to getMatchedLeads.</t>
  </si>
  <si>
    <t xml:space="preserve">Phase 3</t>
  </si>
  <si>
    <t xml:space="preserve">14-32</t>
  </si>
  <si>
    <t xml:space="preserve">Notifications: trigger-type wiring, now with 3-5 extra days freed up by the core-system correction to push toward the higher-priority ~35-40 of the ~64 types; profile family/spouse matching built (invite, link, tap-through).</t>
  </si>
  <si>
    <t xml:space="preserve">Phase 4</t>
  </si>
  <si>
    <t xml:space="preserve">30-40</t>
  </si>
  <si>
    <t xml:space="preserve">Remaining notification trigger types wired to reach the full ~64; API optimization pass across the ~180-190 wired calls.</t>
  </si>
  <si>
    <t xml:space="preserve">Phase 5</t>
  </si>
  <si>
    <t xml:space="preserve">38-45</t>
  </si>
  <si>
    <t xml:space="preserve">Full regression QA, Play Store closed-testing submission and monitoring, bug-fixing, release.</t>
  </si>
  <si>
    <t xml:space="preserve">What's realistically still pending at day 45, even in this plan</t>
  </si>
  <si>
    <t xml:space="preserve">This is the "complete by 45 days" target, so it's built to reach release — but two genuine risk points remain: (1) the ~64-notification catalogue — if any trigger's backend event slips, that type carries past day 45; and (2) the Play Store review queue itself, which runs on Google's schedule and can push the actual public release a few days past day 45 even if every build task inside the team's control finishes on time. A second API-optimization pass is also expected once the new notification/role-revoke/family-link endpoints land — that's follow-on work by design, not a miss on this plan.</t>
  </si>
  <si>
    <t xml:space="preserve">Same feature-by-feature breakdown as Plan 1, checked against the 45-day capacity</t>
  </si>
  <si>
    <t xml:space="preserve">Plan 2 is framed as reaching full release, so every feature's full effort from Plan 1 has to fit inside the 45 days. The Min/Max columns below are live links to the Plan 1 tab (green = cross-sheet link), not re-typed numbers.</t>
  </si>
  <si>
    <t xml:space="preserve">Total (person-days, AI-assisted) — should equal Plan 1's total</t>
  </si>
  <si>
    <t xml:space="preserve">Capacity check: 2 developers x 45 days is approx. 90 person-days of raw capacity (before counting backend, which runs its own track) — comfortably above the 76-day worst case above. That headroom (roughly 14-41 person-days) is what Phase 5's QA / bug-fixing / testing-monitoring time draws from.</t>
  </si>
  <si>
    <t xml:space="preserve">Plan 3 — 11 September to 10 October</t>
  </si>
  <si>
    <t xml:space="preserve">The client's requested date; approx. a 29-30 day window. AI-assisted throughout. Because leads needed far less rebuilding than the "needs to do" list assumed, and the notification core-system estimate is now corrected down to 1.5-3 days (freeing several more days for trigger-type wiring), this window is more workable than it would otherwise look.</t>
  </si>
  <si>
    <t xml:space="preserve">Status by 10 Oct</t>
  </si>
  <si>
    <t xml:space="preserve">Item</t>
  </si>
  <si>
    <t xml:space="preserve">Done</t>
  </si>
  <si>
    <t xml:space="preserve">Sector sub-sub-sector rollout across all 4 confirmed screens</t>
  </si>
  <si>
    <t xml:space="preserve">Primary/secondary profile address switching</t>
  </si>
  <si>
    <t xml:space="preserve">Leads — Own (My Leads) polished; the 5 orphaned stub files removed and the existing B2B/B2C/Social/Communication/UBN access points confirmed</t>
  </si>
  <si>
    <t xml:space="preserve">Leads — AI Leads consolidated screen live, wired to the real getMatchedLeads endpoint</t>
  </si>
  <si>
    <t xml:space="preserve">Notifications core system live (feed, read/unread, badges, push registration, deep links) — built in the first few days rather than the first two weeks — plus roughly the top 30-35 of the ~64 trigger types (up from ~25-30 before the correction, since the days saved on the core system roll straight into trigger wiring)</t>
  </si>
  <si>
    <t xml:space="preserve">Partial</t>
  </si>
  <si>
    <t xml:space="preserve">Profile family matching — invite + linking flow likely built for spouse; multi-family-member support and full tap-through polish likely carries over</t>
  </si>
  <si>
    <t xml:space="preserve">Pending / carried over past 10 Oct</t>
  </si>
  <si>
    <t xml:space="preserve">Remaining ~29-34 notification trigger types (including anything depending on the not-yet-built role-revoke endpoint), the full API optimization pass, Play Store closed-testing submission, full multi-member family-matching polish</t>
  </si>
  <si>
    <t xml:space="preserve">In short: this window comfortably covers the two smaller self-contained items (sector rollout, address switching), the leads cleanup and AI Leads screen, and — now that the core system is a fast build rather than a two-week one — a notification system that's not just live but meaningfully populated. The remaining notification types, the complete family-matching feature, and the API optimization pass are what's genuinely pending past 10 October, and need the additional 8-17 days captured in Plan 2 to close out.</t>
  </si>
  <si>
    <t xml:space="preserve">Same feature-by-feature breakdown as Plan 1, split into what fits inside the window and what doesn't</t>
  </si>
  <si>
    <t xml:space="preserve">Each row's two halves add back up to that feature's Plan 1 total. "Days done" columns are entered directly from the assessment above; "Days pending" columns are formulas: Plan 1's total for that feature minus the days done — so they can never silently drift out of sync with Plan 1.</t>
  </si>
  <si>
    <t xml:space="preserve">Done: Min</t>
  </si>
  <si>
    <t xml:space="preserve">Done: Max</t>
  </si>
  <si>
    <t xml:space="preserve">Pending: Min</t>
  </si>
  <si>
    <t xml:space="preserve">Pending: Max</t>
  </si>
  <si>
    <t xml:space="preserve">Total</t>
  </si>
  <si>
    <t xml:space="preserve">So of the 49-76 person-days in Plan 1, roughly the "Done" total above actually lands inside the 11 Sep-10 Oct window, and the "Pending" total carries into the remainder of Plan 2 (days 30-45) — the same split shown qualitatively in the status table above, now quantified and formula-linked to Plan 1.</t>
  </si>
  <si>
    <t xml:space="preserve">Dependencies and risks worth flagging to the client</t>
  </si>
  <si>
    <t xml:space="preserve">Notifications and family-invite both need backend endpoints that don't exist yet, and role-removal notifications specifically need a new RoleAPI revoke/remove endpoint that isn't there today either — every plan above assumes backend delivers these in parallel and on schedule; a slip there pushes the matching frontend milestones directly.
AI Leads is lower-risk than a first read suggests: the exact fetch/render pattern (getMatchedLeads -&gt; card list) is already shipping today inside LeadDetailScreen, so the consolidated screen is proven, not speculative — the remaining work is the screen itself, the accept/dismiss flow, and (if "dismiss" needs its own status) a small backend addition.
The Play Store closed/internal testing track carries elapsed time outside the team's control and is the tightest point in Plan 2's timeline.
Finally, the 274-operation backend surface (42 modules) against roughly 180-190 wired calls today means the app's API surface keeps growing as these six features land — the optimization pass above is scoped against today's baseline, so expect a second optimization pass once the new notification, role-revoke, and family-linking endpoints go live.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</si>
</sst>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C6E0B4"/>
        <bgColor rgb="FFD9E2F3"/>
      </patternFill>
    </fill>
    <fill>
      <patternFill patternType="solid">
        <fgColor rgb="FFF8CBAD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60" hidden="false" customHeight="true" outlineLevel="0" collapsed="false">
      <c r="A3" s="3" t="s">
        <v>2</v>
      </c>
      <c r="B3" s="4" t="s">
        <v>3</v>
      </c>
    </row>
    <row r="4" customFormat="false" ht="60" hidden="false" customHeight="true" outlineLevel="0" collapsed="false">
      <c r="A4" s="5" t="s">
        <v>4</v>
      </c>
      <c r="B4" s="6" t="s">
        <v>5</v>
      </c>
    </row>
    <row r="5" customFormat="false" ht="60" hidden="false" customHeight="true" outlineLevel="0" collapsed="false">
      <c r="A5" s="3" t="s">
        <v>6</v>
      </c>
      <c r="B5" s="4" t="s">
        <v>7</v>
      </c>
    </row>
    <row r="6" customFormat="false" ht="60" hidden="false" customHeight="true" outlineLevel="0" collapsed="false">
      <c r="A6" s="5" t="s">
        <v>8</v>
      </c>
      <c r="B6" s="6" t="s">
        <v>9</v>
      </c>
    </row>
    <row r="7" customFormat="false" ht="60" hidden="false" customHeight="true" outlineLevel="0" collapsed="false">
      <c r="A7" s="3" t="s">
        <v>10</v>
      </c>
      <c r="B7" s="4" t="s">
        <v>11</v>
      </c>
    </row>
    <row r="8" customFormat="false" ht="60" hidden="false" customHeight="true" outlineLevel="0" collapsed="false">
      <c r="A8" s="5" t="s">
        <v>12</v>
      </c>
      <c r="B8" s="6" t="s">
        <v>13</v>
      </c>
    </row>
    <row r="11" customFormat="false" ht="15" hidden="false" customHeight="false" outlineLevel="0" collapsed="false">
      <c r="A11" s="7" t="s">
        <v>14</v>
      </c>
    </row>
    <row r="12" customFormat="false" ht="15" hidden="false" customHeight="false" outlineLevel="0" collapsed="false">
      <c r="A12" s="8" t="s">
        <v>15</v>
      </c>
    </row>
    <row r="13" customFormat="false" ht="15" hidden="false" customHeight="false" outlineLevel="0" collapsed="false">
      <c r="A13" s="8" t="s">
        <v>16</v>
      </c>
    </row>
    <row r="14" customFormat="false" ht="15" hidden="false" customHeight="false" outlineLevel="0" collapsed="false">
      <c r="A14" s="8" t="s">
        <v>17</v>
      </c>
    </row>
    <row r="15" customFormat="false" ht="15" hidden="false" customHeight="false" outlineLevel="0" collapsed="false">
      <c r="A15" s="8" t="s">
        <v>18</v>
      </c>
    </row>
    <row r="16" customFormat="false" ht="15" hidden="false" customHeight="false" outlineLevel="0" collapsed="false">
      <c r="A16" s="8" t="s">
        <v>19</v>
      </c>
    </row>
    <row r="17" customFormat="false" ht="15" hidden="false" customHeight="false" outlineLevel="0" collapsed="false">
      <c r="A17" s="8" t="s">
        <v>20</v>
      </c>
    </row>
    <row r="18" customFormat="false" ht="15" hidden="false" customHeight="false" outlineLevel="0" collapsed="false">
      <c r="A18" s="8" t="s">
        <v>21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0"/>
  </cols>
  <sheetData>
    <row r="1" customFormat="false" ht="25.5" hidden="false" customHeight="true" outlineLevel="0" collapsed="false">
      <c r="A1" s="1" t="s">
        <v>22</v>
      </c>
      <c r="B1" s="1"/>
    </row>
    <row r="2" customFormat="false" ht="18" hidden="false" customHeight="true" outlineLevel="0" collapsed="false">
      <c r="A2" s="2" t="s">
        <v>23</v>
      </c>
      <c r="B2" s="2"/>
    </row>
    <row r="3" customFormat="false" ht="21.75" hidden="false" customHeight="true" outlineLevel="0" collapsed="false">
      <c r="A3" s="9" t="s">
        <v>24</v>
      </c>
      <c r="B3" s="9" t="s">
        <v>25</v>
      </c>
    </row>
    <row r="4" customFormat="false" ht="144.75" hidden="false" customHeight="true" outlineLevel="0" collapsed="false">
      <c r="A4" s="10" t="s">
        <v>26</v>
      </c>
      <c r="B4" s="11" t="s">
        <v>27</v>
      </c>
    </row>
    <row r="5" customFormat="false" ht="144.75" hidden="false" customHeight="true" outlineLevel="0" collapsed="false">
      <c r="A5" s="10" t="s">
        <v>28</v>
      </c>
      <c r="B5" s="11" t="s">
        <v>29</v>
      </c>
    </row>
    <row r="6" customFormat="false" ht="144.75" hidden="false" customHeight="true" outlineLevel="0" collapsed="false">
      <c r="A6" s="10" t="s">
        <v>30</v>
      </c>
      <c r="B6" s="11" t="s">
        <v>31</v>
      </c>
    </row>
    <row r="7" customFormat="false" ht="144.75" hidden="false" customHeight="true" outlineLevel="0" collapsed="false">
      <c r="A7" s="10" t="s">
        <v>32</v>
      </c>
      <c r="B7" s="11" t="s">
        <v>33</v>
      </c>
    </row>
    <row r="8" customFormat="false" ht="144.75" hidden="false" customHeight="true" outlineLevel="0" collapsed="false">
      <c r="A8" s="10" t="s">
        <v>34</v>
      </c>
      <c r="B8" s="11" t="s">
        <v>35</v>
      </c>
    </row>
    <row r="9" customFormat="false" ht="144.75" hidden="false" customHeight="true" outlineLevel="0" collapsed="false">
      <c r="A9" s="10" t="s">
        <v>36</v>
      </c>
      <c r="B9" s="11" t="s">
        <v>37</v>
      </c>
    </row>
    <row r="10" customFormat="false" ht="144.75" hidden="false" customHeight="true" outlineLevel="0" collapsed="false">
      <c r="A10" s="10" t="s">
        <v>38</v>
      </c>
      <c r="B10" s="11" t="s">
        <v>39</v>
      </c>
    </row>
    <row r="11" customFormat="false" ht="144.75" hidden="false" customHeight="true" outlineLevel="0" collapsed="false">
      <c r="A11" s="10" t="s">
        <v>40</v>
      </c>
      <c r="B11" s="11" t="s">
        <v>41</v>
      </c>
    </row>
    <row r="13" customFormat="false" ht="15" hidden="false" customHeight="false" outlineLevel="0" collapsed="false">
      <c r="A13" s="7" t="s">
        <v>42</v>
      </c>
    </row>
    <row r="14" customFormat="false" ht="99.75" hidden="false" customHeight="true" outlineLevel="0" collapsed="false">
      <c r="A14" s="12" t="s">
        <v>43</v>
      </c>
      <c r="B14" s="12"/>
    </row>
  </sheetData>
  <mergeCells count="3">
    <mergeCell ref="A1:B1"/>
    <mergeCell ref="A2:B2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70"/>
    <col collapsed="false" customWidth="true" hidden="false" outlineLevel="0" max="4" min="4" style="0" width="10"/>
  </cols>
  <sheetData>
    <row r="1" customFormat="false" ht="25.5" hidden="false" customHeight="true" outlineLevel="0" collapsed="false">
      <c r="A1" s="1" t="s">
        <v>44</v>
      </c>
      <c r="B1" s="1"/>
      <c r="C1" s="1"/>
      <c r="D1" s="1"/>
    </row>
    <row r="2" customFormat="false" ht="18" hidden="false" customHeight="true" outlineLevel="0" collapsed="false">
      <c r="A2" s="2" t="s">
        <v>45</v>
      </c>
      <c r="B2" s="2"/>
      <c r="C2" s="2"/>
      <c r="D2" s="2"/>
    </row>
    <row r="3" customFormat="false" ht="21.75" hidden="false" customHeight="true" outlineLevel="0" collapsed="false">
      <c r="A3" s="9" t="s">
        <v>46</v>
      </c>
      <c r="B3" s="9" t="s">
        <v>47</v>
      </c>
      <c r="C3" s="9" t="s">
        <v>48</v>
      </c>
      <c r="D3" s="9" t="s">
        <v>49</v>
      </c>
    </row>
    <row r="4" customFormat="false" ht="42" hidden="false" customHeight="true" outlineLevel="0" collapsed="false">
      <c r="A4" s="13" t="n">
        <v>1</v>
      </c>
      <c r="B4" s="11" t="s">
        <v>50</v>
      </c>
      <c r="C4" s="11" t="s">
        <v>51</v>
      </c>
      <c r="D4" s="14" t="n">
        <v>5</v>
      </c>
    </row>
    <row r="5" customFormat="false" ht="42" hidden="false" customHeight="true" outlineLevel="0" collapsed="false">
      <c r="A5" s="13" t="n">
        <v>2</v>
      </c>
      <c r="B5" s="11" t="s">
        <v>52</v>
      </c>
      <c r="C5" s="11" t="s">
        <v>53</v>
      </c>
      <c r="D5" s="14" t="n">
        <v>3</v>
      </c>
    </row>
    <row r="6" customFormat="false" ht="42" hidden="false" customHeight="true" outlineLevel="0" collapsed="false">
      <c r="A6" s="13" t="n">
        <v>3</v>
      </c>
      <c r="B6" s="11" t="s">
        <v>54</v>
      </c>
      <c r="C6" s="11" t="s">
        <v>55</v>
      </c>
      <c r="D6" s="14" t="n">
        <v>3</v>
      </c>
    </row>
    <row r="7" customFormat="false" ht="42" hidden="false" customHeight="true" outlineLevel="0" collapsed="false">
      <c r="A7" s="13" t="n">
        <v>4</v>
      </c>
      <c r="B7" s="11" t="s">
        <v>56</v>
      </c>
      <c r="C7" s="11" t="s">
        <v>57</v>
      </c>
      <c r="D7" s="14" t="n">
        <v>6</v>
      </c>
    </row>
    <row r="8" customFormat="false" ht="42" hidden="false" customHeight="true" outlineLevel="0" collapsed="false">
      <c r="A8" s="13" t="n">
        <v>5</v>
      </c>
      <c r="B8" s="11" t="s">
        <v>58</v>
      </c>
      <c r="C8" s="11" t="s">
        <v>59</v>
      </c>
      <c r="D8" s="14" t="n">
        <v>7</v>
      </c>
    </row>
    <row r="9" customFormat="false" ht="42" hidden="false" customHeight="true" outlineLevel="0" collapsed="false">
      <c r="A9" s="13" t="n">
        <v>6</v>
      </c>
      <c r="B9" s="11" t="s">
        <v>60</v>
      </c>
      <c r="C9" s="11" t="s">
        <v>61</v>
      </c>
      <c r="D9" s="14" t="n">
        <v>5</v>
      </c>
    </row>
    <row r="10" customFormat="false" ht="42" hidden="false" customHeight="true" outlineLevel="0" collapsed="false">
      <c r="A10" s="13" t="n">
        <v>7</v>
      </c>
      <c r="B10" s="11" t="s">
        <v>62</v>
      </c>
      <c r="C10" s="11" t="s">
        <v>63</v>
      </c>
      <c r="D10" s="14" t="n">
        <v>2</v>
      </c>
    </row>
    <row r="11" customFormat="false" ht="42" hidden="false" customHeight="true" outlineLevel="0" collapsed="false">
      <c r="A11" s="13" t="n">
        <v>8</v>
      </c>
      <c r="B11" s="11" t="s">
        <v>64</v>
      </c>
      <c r="C11" s="11" t="s">
        <v>65</v>
      </c>
      <c r="D11" s="14" t="n">
        <v>4</v>
      </c>
    </row>
    <row r="12" customFormat="false" ht="42" hidden="false" customHeight="true" outlineLevel="0" collapsed="false">
      <c r="A12" s="13" t="n">
        <v>9</v>
      </c>
      <c r="B12" s="11" t="s">
        <v>66</v>
      </c>
      <c r="C12" s="11" t="s">
        <v>67</v>
      </c>
      <c r="D12" s="14" t="n">
        <v>6</v>
      </c>
    </row>
    <row r="13" customFormat="false" ht="42" hidden="false" customHeight="true" outlineLevel="0" collapsed="false">
      <c r="A13" s="13" t="n">
        <v>10</v>
      </c>
      <c r="B13" s="11" t="s">
        <v>68</v>
      </c>
      <c r="C13" s="11" t="s">
        <v>69</v>
      </c>
      <c r="D13" s="14" t="n">
        <v>4</v>
      </c>
    </row>
    <row r="14" customFormat="false" ht="42" hidden="false" customHeight="true" outlineLevel="0" collapsed="false">
      <c r="A14" s="13" t="n">
        <v>11</v>
      </c>
      <c r="B14" s="11" t="s">
        <v>70</v>
      </c>
      <c r="C14" s="11" t="s">
        <v>71</v>
      </c>
      <c r="D14" s="14" t="n">
        <v>2</v>
      </c>
    </row>
    <row r="15" customFormat="false" ht="42" hidden="false" customHeight="true" outlineLevel="0" collapsed="false">
      <c r="A15" s="13" t="n">
        <v>12</v>
      </c>
      <c r="B15" s="11" t="s">
        <v>72</v>
      </c>
      <c r="C15" s="11" t="s">
        <v>73</v>
      </c>
      <c r="D15" s="14" t="n">
        <v>3</v>
      </c>
    </row>
    <row r="16" customFormat="false" ht="42" hidden="false" customHeight="true" outlineLevel="0" collapsed="false">
      <c r="A16" s="13" t="n">
        <v>13</v>
      </c>
      <c r="B16" s="11" t="s">
        <v>74</v>
      </c>
      <c r="C16" s="11" t="s">
        <v>75</v>
      </c>
      <c r="D16" s="14" t="n">
        <v>4</v>
      </c>
    </row>
    <row r="17" customFormat="false" ht="42" hidden="false" customHeight="true" outlineLevel="0" collapsed="false">
      <c r="A17" s="13" t="n">
        <v>14</v>
      </c>
      <c r="B17" s="11" t="s">
        <v>76</v>
      </c>
      <c r="C17" s="11" t="s">
        <v>77</v>
      </c>
      <c r="D17" s="14" t="n">
        <v>1</v>
      </c>
    </row>
    <row r="18" customFormat="false" ht="42" hidden="false" customHeight="true" outlineLevel="0" collapsed="false">
      <c r="A18" s="13" t="n">
        <v>15</v>
      </c>
      <c r="B18" s="11" t="s">
        <v>78</v>
      </c>
      <c r="C18" s="11" t="s">
        <v>79</v>
      </c>
      <c r="D18" s="14" t="n">
        <v>3</v>
      </c>
    </row>
    <row r="19" customFormat="false" ht="42" hidden="false" customHeight="true" outlineLevel="0" collapsed="false">
      <c r="A19" s="13" t="n">
        <v>16</v>
      </c>
      <c r="B19" s="11" t="s">
        <v>80</v>
      </c>
      <c r="C19" s="11" t="s">
        <v>81</v>
      </c>
      <c r="D19" s="14" t="n">
        <v>3</v>
      </c>
    </row>
    <row r="20" customFormat="false" ht="42" hidden="false" customHeight="true" outlineLevel="0" collapsed="false">
      <c r="A20" s="13" t="n">
        <v>17</v>
      </c>
      <c r="B20" s="11" t="s">
        <v>82</v>
      </c>
      <c r="C20" s="11" t="s">
        <v>83</v>
      </c>
      <c r="D20" s="14" t="n">
        <v>3</v>
      </c>
    </row>
    <row r="21" customFormat="false" ht="15" hidden="false" customHeight="false" outlineLevel="0" collapsed="false">
      <c r="B21" s="15" t="s">
        <v>84</v>
      </c>
      <c r="D21" s="16" t="n">
        <f aca="false">SUM(D4:D20)</f>
        <v>64</v>
      </c>
    </row>
    <row r="23" customFormat="false" ht="15" hidden="false" customHeight="false" outlineLevel="0" collapsed="false">
      <c r="A23" s="7" t="s">
        <v>85</v>
      </c>
    </row>
    <row r="24" customFormat="false" ht="21.75" hidden="false" customHeight="true" outlineLevel="0" collapsed="false">
      <c r="A24" s="9" t="s">
        <v>86</v>
      </c>
      <c r="B24" s="9" t="s">
        <v>87</v>
      </c>
      <c r="C24" s="9" t="s">
        <v>88</v>
      </c>
      <c r="D24" s="9" t="s">
        <v>89</v>
      </c>
    </row>
    <row r="25" customFormat="false" ht="69.75" hidden="false" customHeight="true" outlineLevel="0" collapsed="false">
      <c r="A25" s="17" t="s">
        <v>90</v>
      </c>
      <c r="B25" s="14" t="n">
        <v>1.5</v>
      </c>
      <c r="C25" s="14" t="n">
        <v>3</v>
      </c>
      <c r="D25" s="11" t="s">
        <v>91</v>
      </c>
    </row>
    <row r="26" customFormat="false" ht="69.75" hidden="false" customHeight="true" outlineLevel="0" collapsed="false">
      <c r="A26" s="17" t="s">
        <v>92</v>
      </c>
      <c r="B26" s="14" t="n">
        <v>15</v>
      </c>
      <c r="C26" s="14" t="n">
        <v>21</v>
      </c>
      <c r="D26" s="11" t="s">
        <v>93</v>
      </c>
    </row>
    <row r="27" customFormat="false" ht="69.75" hidden="false" customHeight="true" outlineLevel="0" collapsed="false">
      <c r="A27" s="17" t="s">
        <v>94</v>
      </c>
      <c r="B27" s="14" t="n">
        <v>6</v>
      </c>
      <c r="C27" s="14" t="n">
        <v>10</v>
      </c>
      <c r="D27" s="11" t="s">
        <v>95</v>
      </c>
    </row>
    <row r="28" customFormat="false" ht="95.5" hidden="false" customHeight="false" outlineLevel="0" collapsed="false">
      <c r="A28" s="15" t="s">
        <v>96</v>
      </c>
      <c r="B28" s="16" t="n">
        <f aca="false">SUM(B25:B27)</f>
        <v>22.5</v>
      </c>
      <c r="C28" s="16" t="n">
        <f aca="false">SUM(C25:C27)</f>
        <v>34</v>
      </c>
      <c r="D28" s="18" t="s">
        <v>97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32"/>
  </cols>
  <sheetData>
    <row r="1" customFormat="false" ht="25.5" hidden="false" customHeight="true" outlineLevel="0" collapsed="false">
      <c r="A1" s="1" t="s">
        <v>98</v>
      </c>
      <c r="B1" s="1"/>
      <c r="C1" s="1"/>
    </row>
    <row r="2" customFormat="false" ht="18" hidden="false" customHeight="true" outlineLevel="0" collapsed="false">
      <c r="A2" s="2" t="s">
        <v>99</v>
      </c>
      <c r="B2" s="2"/>
      <c r="C2" s="2"/>
    </row>
    <row r="3" customFormat="false" ht="21.75" hidden="false" customHeight="true" outlineLevel="0" collapsed="false">
      <c r="A3" s="9"/>
      <c r="B3" s="9" t="s">
        <v>100</v>
      </c>
      <c r="C3" s="9" t="s">
        <v>101</v>
      </c>
    </row>
    <row r="4" customFormat="false" ht="33.75" hidden="false" customHeight="true" outlineLevel="0" collapsed="false">
      <c r="A4" s="17" t="s">
        <v>102</v>
      </c>
      <c r="B4" s="14" t="s">
        <v>103</v>
      </c>
      <c r="C4" s="14" t="s">
        <v>104</v>
      </c>
    </row>
    <row r="5" customFormat="false" ht="33.75" hidden="false" customHeight="true" outlineLevel="0" collapsed="false">
      <c r="A5" s="17" t="s">
        <v>105</v>
      </c>
      <c r="B5" s="14" t="s">
        <v>106</v>
      </c>
      <c r="C5" s="14" t="s">
        <v>106</v>
      </c>
    </row>
    <row r="6" customFormat="false" ht="15" hidden="false" customHeight="false" outlineLevel="0" collapsed="false">
      <c r="A6" s="15" t="s">
        <v>107</v>
      </c>
      <c r="B6" s="16" t="s">
        <v>108</v>
      </c>
      <c r="C6" s="16" t="s">
        <v>109</v>
      </c>
    </row>
    <row r="8" customFormat="false" ht="39.75" hidden="false" customHeight="true" outlineLevel="0" collapsed="false">
      <c r="A8" s="19" t="s">
        <v>110</v>
      </c>
      <c r="B8" s="19"/>
      <c r="C8" s="19"/>
    </row>
  </sheetData>
  <mergeCells count="3">
    <mergeCell ref="A1:C1"/>
    <mergeCell ref="A2:C2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5"/>
    <col collapsed="false" customWidth="true" hidden="false" outlineLevel="0" max="3" min="2" style="0" width="12"/>
  </cols>
  <sheetData>
    <row r="1" customFormat="false" ht="25.5" hidden="false" customHeight="true" outlineLevel="0" collapsed="false">
      <c r="A1" s="1" t="s">
        <v>111</v>
      </c>
      <c r="B1" s="1"/>
      <c r="C1" s="1"/>
    </row>
    <row r="2" customFormat="false" ht="18" hidden="false" customHeight="true" outlineLevel="0" collapsed="false">
      <c r="A2" s="2" t="s">
        <v>112</v>
      </c>
      <c r="B2" s="2"/>
      <c r="C2" s="2"/>
    </row>
    <row r="3" customFormat="false" ht="21.75" hidden="false" customHeight="true" outlineLevel="0" collapsed="false">
      <c r="A3" s="9" t="s">
        <v>113</v>
      </c>
      <c r="B3" s="9" t="s">
        <v>87</v>
      </c>
      <c r="C3" s="9" t="s">
        <v>88</v>
      </c>
    </row>
    <row r="4" customFormat="false" ht="43.5" hidden="false" customHeight="true" outlineLevel="0" collapsed="false">
      <c r="A4" s="11" t="s">
        <v>114</v>
      </c>
      <c r="B4" s="14" t="n">
        <v>1</v>
      </c>
      <c r="C4" s="14" t="n">
        <v>2</v>
      </c>
    </row>
    <row r="5" customFormat="false" ht="43.5" hidden="false" customHeight="true" outlineLevel="0" collapsed="false">
      <c r="A5" s="11" t="s">
        <v>115</v>
      </c>
      <c r="B5" s="14" t="n">
        <v>0.5</v>
      </c>
      <c r="C5" s="14" t="n">
        <v>1</v>
      </c>
    </row>
    <row r="6" customFormat="false" ht="43.5" hidden="false" customHeight="true" outlineLevel="0" collapsed="false">
      <c r="A6" s="11" t="s">
        <v>116</v>
      </c>
      <c r="B6" s="14" t="n">
        <v>3</v>
      </c>
      <c r="C6" s="14" t="n">
        <v>5</v>
      </c>
    </row>
    <row r="7" customFormat="false" ht="43.5" hidden="false" customHeight="true" outlineLevel="0" collapsed="false">
      <c r="A7" s="20" t="s">
        <v>117</v>
      </c>
      <c r="B7" s="21" t="n">
        <v>1.5</v>
      </c>
      <c r="C7" s="21" t="n">
        <v>3</v>
      </c>
    </row>
    <row r="8" customFormat="false" ht="43.5" hidden="false" customHeight="true" outlineLevel="0" collapsed="false">
      <c r="A8" s="11" t="s">
        <v>118</v>
      </c>
      <c r="B8" s="14" t="n">
        <v>15</v>
      </c>
      <c r="C8" s="14" t="n">
        <v>21</v>
      </c>
    </row>
    <row r="9" customFormat="false" ht="43.5" hidden="false" customHeight="true" outlineLevel="0" collapsed="false">
      <c r="A9" s="11" t="s">
        <v>119</v>
      </c>
      <c r="B9" s="14" t="n">
        <v>6</v>
      </c>
      <c r="C9" s="14" t="n">
        <v>10</v>
      </c>
    </row>
    <row r="10" customFormat="false" ht="43.5" hidden="false" customHeight="true" outlineLevel="0" collapsed="false">
      <c r="A10" s="11" t="s">
        <v>120</v>
      </c>
      <c r="B10" s="14" t="n">
        <v>9</v>
      </c>
      <c r="C10" s="14" t="n">
        <v>13</v>
      </c>
    </row>
    <row r="11" customFormat="false" ht="43.5" hidden="false" customHeight="true" outlineLevel="0" collapsed="false">
      <c r="A11" s="11" t="s">
        <v>121</v>
      </c>
      <c r="B11" s="14" t="n">
        <v>3</v>
      </c>
      <c r="C11" s="14" t="n">
        <v>5</v>
      </c>
    </row>
    <row r="12" customFormat="false" ht="43.5" hidden="false" customHeight="true" outlineLevel="0" collapsed="false">
      <c r="A12" s="11" t="s">
        <v>122</v>
      </c>
      <c r="B12" s="14" t="n">
        <v>7</v>
      </c>
      <c r="C12" s="14" t="n">
        <v>11</v>
      </c>
    </row>
    <row r="13" customFormat="false" ht="43.5" hidden="false" customHeight="true" outlineLevel="0" collapsed="false">
      <c r="A13" s="11" t="s">
        <v>123</v>
      </c>
      <c r="B13" s="14" t="n">
        <v>3</v>
      </c>
      <c r="C13" s="14" t="n">
        <v>5</v>
      </c>
    </row>
    <row r="14" customFormat="false" ht="15" hidden="false" customHeight="false" outlineLevel="0" collapsed="false">
      <c r="A14" s="15" t="s">
        <v>124</v>
      </c>
      <c r="B14" s="16" t="n">
        <f aca="false">SUM(B4:B13)</f>
        <v>49</v>
      </c>
      <c r="C14" s="16" t="n">
        <f aca="false">SUM(C4:C13)</f>
        <v>76</v>
      </c>
    </row>
    <row r="16" customFormat="false" ht="39.75" hidden="false" customHeight="true" outlineLevel="0" collapsed="false">
      <c r="A16" s="19" t="s">
        <v>125</v>
      </c>
      <c r="B16" s="19"/>
      <c r="C16" s="19"/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5" min="4" style="0" width="12"/>
  </cols>
  <sheetData>
    <row r="1" customFormat="false" ht="25.5" hidden="false" customHeight="true" outlineLevel="0" collapsed="false">
      <c r="A1" s="1" t="s">
        <v>126</v>
      </c>
      <c r="B1" s="1"/>
      <c r="C1" s="1"/>
    </row>
    <row r="2" customFormat="false" ht="18" hidden="false" customHeight="true" outlineLevel="0" collapsed="false">
      <c r="A2" s="2" t="s">
        <v>127</v>
      </c>
      <c r="B2" s="2"/>
      <c r="C2" s="2"/>
    </row>
    <row r="3" customFormat="false" ht="21.75" hidden="false" customHeight="true" outlineLevel="0" collapsed="false">
      <c r="A3" s="9" t="s">
        <v>128</v>
      </c>
      <c r="B3" s="9" t="s">
        <v>129</v>
      </c>
      <c r="C3" s="9" t="s">
        <v>130</v>
      </c>
    </row>
    <row r="4" customFormat="false" ht="75" hidden="false" customHeight="true" outlineLevel="0" collapsed="false">
      <c r="A4" s="22" t="s">
        <v>131</v>
      </c>
      <c r="B4" s="13" t="s">
        <v>132</v>
      </c>
      <c r="C4" s="11" t="s">
        <v>133</v>
      </c>
    </row>
    <row r="5" customFormat="false" ht="75" hidden="false" customHeight="true" outlineLevel="0" collapsed="false">
      <c r="A5" s="22" t="s">
        <v>134</v>
      </c>
      <c r="B5" s="13" t="s">
        <v>135</v>
      </c>
      <c r="C5" s="11" t="s">
        <v>136</v>
      </c>
    </row>
    <row r="6" customFormat="false" ht="75" hidden="false" customHeight="true" outlineLevel="0" collapsed="false">
      <c r="A6" s="22" t="s">
        <v>137</v>
      </c>
      <c r="B6" s="13" t="s">
        <v>138</v>
      </c>
      <c r="C6" s="11" t="s">
        <v>139</v>
      </c>
    </row>
    <row r="7" customFormat="false" ht="75" hidden="false" customHeight="true" outlineLevel="0" collapsed="false">
      <c r="A7" s="22" t="s">
        <v>140</v>
      </c>
      <c r="B7" s="13" t="s">
        <v>141</v>
      </c>
      <c r="C7" s="11" t="s">
        <v>142</v>
      </c>
    </row>
    <row r="8" customFormat="false" ht="75" hidden="false" customHeight="true" outlineLevel="0" collapsed="false">
      <c r="A8" s="22" t="s">
        <v>143</v>
      </c>
      <c r="B8" s="13" t="s">
        <v>144</v>
      </c>
      <c r="C8" s="11" t="s">
        <v>145</v>
      </c>
    </row>
    <row r="10" customFormat="false" ht="15" hidden="false" customHeight="false" outlineLevel="0" collapsed="false">
      <c r="A10" s="23" t="s">
        <v>146</v>
      </c>
      <c r="B10" s="23"/>
      <c r="C10" s="23"/>
    </row>
    <row r="11" customFormat="false" ht="84.75" hidden="false" customHeight="true" outlineLevel="0" collapsed="false">
      <c r="A11" s="24" t="s">
        <v>147</v>
      </c>
      <c r="B11" s="24"/>
      <c r="C11" s="24"/>
    </row>
    <row r="13" customFormat="false" ht="15" hidden="false" customHeight="false" outlineLevel="0" collapsed="false">
      <c r="A13" s="23" t="s">
        <v>148</v>
      </c>
      <c r="B13" s="23"/>
      <c r="C13" s="23"/>
    </row>
    <row r="14" customFormat="false" ht="30" hidden="false" customHeight="true" outlineLevel="0" collapsed="false">
      <c r="A14" s="19" t="s">
        <v>149</v>
      </c>
      <c r="B14" s="19"/>
      <c r="C14" s="19"/>
    </row>
    <row r="15" customFormat="false" ht="21.75" hidden="false" customHeight="true" outlineLevel="0" collapsed="false">
      <c r="A15" s="9" t="s">
        <v>113</v>
      </c>
      <c r="D15" s="9" t="s">
        <v>87</v>
      </c>
      <c r="E15" s="9" t="s">
        <v>88</v>
      </c>
    </row>
    <row r="16" customFormat="false" ht="39.75" hidden="false" customHeight="true" outlineLevel="0" collapsed="false">
      <c r="A16" s="11" t="str">
        <f aca="false">'Plan 1 - Actual Effort'!A4</f>
        <v>Leads — Own: polish, edge/empty states (already built, not a rebuild)</v>
      </c>
      <c r="D16" s="25" t="n">
        <f aca="false">'Plan 1 - Actual Effort'!B4</f>
        <v>1</v>
      </c>
      <c r="E16" s="25" t="n">
        <f aca="false">'Plan 1 - Actual Effort'!C4</f>
        <v>2</v>
      </c>
    </row>
    <row r="17" customFormat="false" ht="39.75" hidden="false" customHeight="true" outlineLevel="0" collapsed="false">
      <c r="A17" s="11" t="str">
        <f aca="false">'Plan 1 - Actual Effort'!A5</f>
        <v>Leads — B2B/B2C/Social/Communication/UBN: delete the 5 orphaned stub files, confirm existing dashboard + full screens cover the need</v>
      </c>
      <c r="D17" s="25" t="n">
        <f aca="false">'Plan 1 - Actual Effort'!B5</f>
        <v>0.5</v>
      </c>
      <c r="E17" s="25" t="n">
        <f aca="false">'Plan 1 - Actual Effort'!C5</f>
        <v>1</v>
      </c>
    </row>
    <row r="18" customFormat="false" ht="39.75" hidden="false" customHeight="true" outlineLevel="0" collapsed="false">
      <c r="A18" s="11" t="str">
        <f aca="false">'Plan 1 - Actual Effort'!A6</f>
        <v>Leads — AI Leads: consolidated screen wired to getMatchedLeads, accept/dismiss, keep the existing contextual section</v>
      </c>
      <c r="D18" s="25" t="n">
        <f aca="false">'Plan 1 - Actual Effort'!B6</f>
        <v>3</v>
      </c>
      <c r="E18" s="25" t="n">
        <f aca="false">'Plan 1 - Actual Effort'!C6</f>
        <v>5</v>
      </c>
    </row>
    <row r="19" customFormat="false" ht="39.75" hidden="false" customHeight="true" outlineLevel="0" collapsed="false">
      <c r="A19" s="11" t="str">
        <f aca="false">'Plan 1 - Actual Effort'!A7</f>
        <v>Notifications — core system + push infrastructure (REVISED per your note: was 9-13 days)</v>
      </c>
      <c r="D19" s="25" t="n">
        <f aca="false">'Plan 1 - Actual Effort'!B7</f>
        <v>1.5</v>
      </c>
      <c r="E19" s="25" t="n">
        <f aca="false">'Plan 1 - Actual Effort'!C7</f>
        <v>3</v>
      </c>
    </row>
    <row r="20" customFormat="false" ht="39.75" hidden="false" customHeight="true" outlineLevel="0" collapsed="false">
      <c r="A20" s="11" t="str">
        <f aca="false">'Plan 1 - Actual Effort'!A8</f>
        <v>Notifications — wiring ~60-65 trigger types</v>
      </c>
      <c r="D20" s="25" t="n">
        <f aca="false">'Plan 1 - Actual Effort'!B8</f>
        <v>15</v>
      </c>
      <c r="E20" s="25" t="n">
        <f aca="false">'Plan 1 - Actual Effort'!C8</f>
        <v>21</v>
      </c>
    </row>
    <row r="21" customFormat="false" ht="39.75" hidden="false" customHeight="true" outlineLevel="0" collapsed="false">
      <c r="A21" s="11" t="str">
        <f aca="false">'Plan 1 - Actual Effort'!A9</f>
        <v>Notifications — Play Store testing cycle (elapsed, parallelizable)</v>
      </c>
      <c r="D21" s="25" t="n">
        <f aca="false">'Plan 1 - Actual Effort'!B9</f>
        <v>6</v>
      </c>
      <c r="E21" s="25" t="n">
        <f aca="false">'Plan 1 - Actual Effort'!C9</f>
        <v>10</v>
      </c>
    </row>
    <row r="22" customFormat="false" ht="39.75" hidden="false" customHeight="true" outlineLevel="0" collapsed="false">
      <c r="A22" s="11" t="str">
        <f aca="false">'Plan 1 - Actual Effort'!A10</f>
        <v>Profile matching — family/spouse linked accounts, invite, tap-through, multi-member</v>
      </c>
      <c r="D22" s="25" t="n">
        <f aca="false">'Plan 1 - Actual Effort'!B10</f>
        <v>9</v>
      </c>
      <c r="E22" s="25" t="n">
        <f aca="false">'Plan 1 - Actual Effort'!C10</f>
        <v>13</v>
      </c>
    </row>
    <row r="23" customFormat="false" ht="39.75" hidden="false" customHeight="true" outlineLevel="0" collapsed="false">
      <c r="A23" s="11" t="str">
        <f aca="false">'Plan 1 - Actual Effort'!A11</f>
        <v>Primary/secondary address toggle + updating ~4 display surfaces</v>
      </c>
      <c r="D23" s="25" t="n">
        <f aca="false">'Plan 1 - Actual Effort'!B11</f>
        <v>3</v>
      </c>
      <c r="E23" s="25" t="n">
        <f aca="false">'Plan 1 - Actual Effort'!C11</f>
        <v>5</v>
      </c>
    </row>
    <row r="24" customFormat="false" ht="39.75" hidden="false" customHeight="true" outlineLevel="0" collapsed="false">
      <c r="A24" s="11" t="str">
        <f aca="false">'Plan 1 - Actual Effort'!A12</f>
        <v>API optimization — gate/remove always-on debug prints, then cache/paginate/de-dupe across ~180-190 wired calls</v>
      </c>
      <c r="D24" s="25" t="n">
        <f aca="false">'Plan 1 - Actual Effort'!B12</f>
        <v>7</v>
      </c>
      <c r="E24" s="25" t="n">
        <f aca="false">'Plan 1 - Actual Effort'!C12</f>
        <v>11</v>
      </c>
    </row>
    <row r="25" customFormat="false" ht="39.75" hidden="false" customHeight="true" outlineLevel="0" collapsed="false">
      <c r="A25" s="11" t="str">
        <f aca="false">'Plan 1 - Actual Effort'!A13</f>
        <v>Sector sub-sub-sector rollout — 4 confirmed screens + small model field</v>
      </c>
      <c r="D25" s="25" t="n">
        <f aca="false">'Plan 1 - Actual Effort'!B13</f>
        <v>3</v>
      </c>
      <c r="E25" s="25" t="n">
        <f aca="false">'Plan 1 - Actual Effort'!C13</f>
        <v>5</v>
      </c>
    </row>
    <row r="26" customFormat="false" ht="15" hidden="false" customHeight="false" outlineLevel="0" collapsed="false">
      <c r="A26" s="15" t="s">
        <v>150</v>
      </c>
      <c r="D26" s="16" t="n">
        <f aca="false">SUM(D16:D25)</f>
        <v>49</v>
      </c>
      <c r="E26" s="16" t="n">
        <f aca="false">SUM(E16:E25)</f>
        <v>76</v>
      </c>
    </row>
    <row r="28" customFormat="false" ht="45" hidden="false" customHeight="true" outlineLevel="0" collapsed="false">
      <c r="A28" s="19" t="s">
        <v>151</v>
      </c>
      <c r="B28" s="19"/>
      <c r="C28" s="19"/>
      <c r="D28" s="19"/>
      <c r="E28" s="19"/>
    </row>
  </sheetData>
  <mergeCells count="7">
    <mergeCell ref="A1:C1"/>
    <mergeCell ref="A2:C2"/>
    <mergeCell ref="A10:C10"/>
    <mergeCell ref="A11:C11"/>
    <mergeCell ref="A13:C13"/>
    <mergeCell ref="A14:C14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5"/>
    <col collapsed="false" customWidth="true" hidden="false" outlineLevel="0" max="3" min="3" style="0" width="4"/>
    <col collapsed="false" customWidth="true" hidden="false" outlineLevel="0" max="4" min="4" style="0" width="55"/>
    <col collapsed="false" customWidth="true" hidden="false" outlineLevel="0" max="6" min="5" style="0" width="12"/>
    <col collapsed="false" customWidth="true" hidden="false" outlineLevel="0" max="8" min="7" style="0" width="13"/>
  </cols>
  <sheetData>
    <row r="1" customFormat="false" ht="25.5" hidden="false" customHeight="true" outlineLevel="0" collapsed="false">
      <c r="A1" s="1" t="s">
        <v>152</v>
      </c>
      <c r="B1" s="1"/>
    </row>
    <row r="2" customFormat="false" ht="18" hidden="false" customHeight="true" outlineLevel="0" collapsed="false">
      <c r="A2" s="2" t="s">
        <v>153</v>
      </c>
      <c r="B2" s="2"/>
    </row>
    <row r="3" customFormat="false" ht="21.75" hidden="false" customHeight="true" outlineLevel="0" collapsed="false">
      <c r="A3" s="9" t="s">
        <v>154</v>
      </c>
      <c r="B3" s="9" t="s">
        <v>155</v>
      </c>
    </row>
    <row r="4" customFormat="false" ht="60" hidden="false" customHeight="true" outlineLevel="0" collapsed="false">
      <c r="A4" s="26" t="s">
        <v>156</v>
      </c>
      <c r="B4" s="11" t="s">
        <v>157</v>
      </c>
    </row>
    <row r="5" customFormat="false" ht="60" hidden="false" customHeight="true" outlineLevel="0" collapsed="false">
      <c r="A5" s="26" t="s">
        <v>156</v>
      </c>
      <c r="B5" s="11" t="s">
        <v>158</v>
      </c>
    </row>
    <row r="6" customFormat="false" ht="60" hidden="false" customHeight="true" outlineLevel="0" collapsed="false">
      <c r="A6" s="26" t="s">
        <v>156</v>
      </c>
      <c r="B6" s="11" t="s">
        <v>159</v>
      </c>
    </row>
    <row r="7" customFormat="false" ht="60" hidden="false" customHeight="true" outlineLevel="0" collapsed="false">
      <c r="A7" s="26" t="s">
        <v>156</v>
      </c>
      <c r="B7" s="11" t="s">
        <v>160</v>
      </c>
    </row>
    <row r="8" customFormat="false" ht="60" hidden="false" customHeight="true" outlineLevel="0" collapsed="false">
      <c r="A8" s="26" t="s">
        <v>156</v>
      </c>
      <c r="B8" s="11" t="s">
        <v>161</v>
      </c>
    </row>
    <row r="9" customFormat="false" ht="60" hidden="false" customHeight="true" outlineLevel="0" collapsed="false">
      <c r="A9" s="27" t="s">
        <v>162</v>
      </c>
      <c r="B9" s="11" t="s">
        <v>163</v>
      </c>
    </row>
    <row r="10" customFormat="false" ht="60" hidden="false" customHeight="true" outlineLevel="0" collapsed="false">
      <c r="A10" s="28" t="s">
        <v>164</v>
      </c>
      <c r="B10" s="11" t="s">
        <v>165</v>
      </c>
    </row>
    <row r="12" customFormat="false" ht="75" hidden="false" customHeight="true" outlineLevel="0" collapsed="false">
      <c r="A12" s="29" t="s">
        <v>166</v>
      </c>
      <c r="B12" s="29"/>
    </row>
    <row r="14" customFormat="false" ht="15" hidden="false" customHeight="false" outlineLevel="0" collapsed="false">
      <c r="D14" s="23" t="s">
        <v>167</v>
      </c>
      <c r="E14" s="23"/>
      <c r="F14" s="23"/>
      <c r="G14" s="23"/>
      <c r="H14" s="23"/>
    </row>
    <row r="15" customFormat="false" ht="31.5" hidden="false" customHeight="true" outlineLevel="0" collapsed="false">
      <c r="D15" s="19" t="s">
        <v>168</v>
      </c>
      <c r="E15" s="19"/>
      <c r="F15" s="19"/>
      <c r="G15" s="19"/>
      <c r="H15" s="19"/>
    </row>
    <row r="16" customFormat="false" ht="25.5" hidden="false" customHeight="true" outlineLevel="0" collapsed="false">
      <c r="D16" s="9" t="s">
        <v>113</v>
      </c>
      <c r="E16" s="9" t="s">
        <v>169</v>
      </c>
      <c r="F16" s="9" t="s">
        <v>170</v>
      </c>
      <c r="G16" s="9" t="s">
        <v>171</v>
      </c>
      <c r="H16" s="9" t="s">
        <v>172</v>
      </c>
    </row>
    <row r="17" customFormat="false" ht="39.75" hidden="false" customHeight="true" outlineLevel="0" collapsed="false">
      <c r="D17" s="11" t="str">
        <f aca="false">'Plan 1 - Actual Effort'!A4</f>
        <v>Leads — Own: polish, edge/empty states (already built, not a rebuild)</v>
      </c>
      <c r="E17" s="14" t="n">
        <v>1</v>
      </c>
      <c r="F17" s="14" t="n">
        <v>2</v>
      </c>
      <c r="G17" s="25" t="n">
        <f aca="false">'Plan 1 - Actual Effort'!B4-E17</f>
        <v>0</v>
      </c>
      <c r="H17" s="25" t="n">
        <f aca="false">'Plan 1 - Actual Effort'!C4-F17</f>
        <v>0</v>
      </c>
    </row>
    <row r="18" customFormat="false" ht="39.75" hidden="false" customHeight="true" outlineLevel="0" collapsed="false">
      <c r="D18" s="11" t="str">
        <f aca="false">'Plan 1 - Actual Effort'!A5</f>
        <v>Leads — B2B/B2C/Social/Communication/UBN: delete the 5 orphaned stub files, confirm existing dashboard + full screens cover the need</v>
      </c>
      <c r="E18" s="14" t="n">
        <v>0.5</v>
      </c>
      <c r="F18" s="14" t="n">
        <v>1</v>
      </c>
      <c r="G18" s="25" t="n">
        <f aca="false">'Plan 1 - Actual Effort'!B5-E18</f>
        <v>0</v>
      </c>
      <c r="H18" s="25" t="n">
        <f aca="false">'Plan 1 - Actual Effort'!C5-F18</f>
        <v>0</v>
      </c>
    </row>
    <row r="19" customFormat="false" ht="39.75" hidden="false" customHeight="true" outlineLevel="0" collapsed="false">
      <c r="D19" s="11" t="str">
        <f aca="false">'Plan 1 - Actual Effort'!A6</f>
        <v>Leads — AI Leads: consolidated screen wired to getMatchedLeads, accept/dismiss, keep the existing contextual section</v>
      </c>
      <c r="E19" s="14" t="n">
        <v>3</v>
      </c>
      <c r="F19" s="14" t="n">
        <v>5</v>
      </c>
      <c r="G19" s="25" t="n">
        <f aca="false">'Plan 1 - Actual Effort'!B6-E19</f>
        <v>0</v>
      </c>
      <c r="H19" s="25" t="n">
        <f aca="false">'Plan 1 - Actual Effort'!C6-F19</f>
        <v>0</v>
      </c>
    </row>
    <row r="20" customFormat="false" ht="39.75" hidden="false" customHeight="true" outlineLevel="0" collapsed="false">
      <c r="D20" s="11" t="str">
        <f aca="false">'Plan 1 - Actual Effort'!A7</f>
        <v>Notifications — core system + push infrastructure (REVISED per your note: was 9-13 days)</v>
      </c>
      <c r="E20" s="14" t="n">
        <v>1.5</v>
      </c>
      <c r="F20" s="14" t="n">
        <v>3</v>
      </c>
      <c r="G20" s="25" t="n">
        <f aca="false">'Plan 1 - Actual Effort'!B7-E20</f>
        <v>0</v>
      </c>
      <c r="H20" s="25" t="n">
        <f aca="false">'Plan 1 - Actual Effort'!C7-F20</f>
        <v>0</v>
      </c>
    </row>
    <row r="21" customFormat="false" ht="39.75" hidden="false" customHeight="true" outlineLevel="0" collapsed="false">
      <c r="D21" s="11" t="str">
        <f aca="false">'Plan 1 - Actual Effort'!A8</f>
        <v>Notifications — wiring ~60-65 trigger types</v>
      </c>
      <c r="E21" s="14" t="n">
        <v>7</v>
      </c>
      <c r="F21" s="14" t="n">
        <v>11</v>
      </c>
      <c r="G21" s="25" t="n">
        <f aca="false">'Plan 1 - Actual Effort'!B8-E21</f>
        <v>8</v>
      </c>
      <c r="H21" s="25" t="n">
        <f aca="false">'Plan 1 - Actual Effort'!C8-F21</f>
        <v>10</v>
      </c>
    </row>
    <row r="22" customFormat="false" ht="39.75" hidden="false" customHeight="true" outlineLevel="0" collapsed="false">
      <c r="D22" s="11" t="str">
        <f aca="false">'Plan 1 - Actual Effort'!A9</f>
        <v>Notifications — Play Store testing cycle (elapsed, parallelizable)</v>
      </c>
      <c r="E22" s="14" t="n">
        <v>0</v>
      </c>
      <c r="F22" s="14" t="n">
        <v>0</v>
      </c>
      <c r="G22" s="25" t="n">
        <f aca="false">'Plan 1 - Actual Effort'!B9-E22</f>
        <v>6</v>
      </c>
      <c r="H22" s="25" t="n">
        <f aca="false">'Plan 1 - Actual Effort'!C9-F22</f>
        <v>10</v>
      </c>
    </row>
    <row r="23" customFormat="false" ht="39.75" hidden="false" customHeight="true" outlineLevel="0" collapsed="false">
      <c r="D23" s="11" t="str">
        <f aca="false">'Plan 1 - Actual Effort'!A10</f>
        <v>Profile matching — family/spouse linked accounts, invite, tap-through, multi-member</v>
      </c>
      <c r="E23" s="14" t="n">
        <v>5.5</v>
      </c>
      <c r="F23" s="14" t="n">
        <v>8.5</v>
      </c>
      <c r="G23" s="25" t="n">
        <f aca="false">'Plan 1 - Actual Effort'!B10-E23</f>
        <v>3.5</v>
      </c>
      <c r="H23" s="25" t="n">
        <f aca="false">'Plan 1 - Actual Effort'!C10-F23</f>
        <v>4.5</v>
      </c>
    </row>
    <row r="24" customFormat="false" ht="39.75" hidden="false" customHeight="true" outlineLevel="0" collapsed="false">
      <c r="D24" s="11" t="str">
        <f aca="false">'Plan 1 - Actual Effort'!A11</f>
        <v>Primary/secondary address toggle + updating ~4 display surfaces</v>
      </c>
      <c r="E24" s="14" t="n">
        <v>3</v>
      </c>
      <c r="F24" s="14" t="n">
        <v>5</v>
      </c>
      <c r="G24" s="25" t="n">
        <f aca="false">'Plan 1 - Actual Effort'!B11-E24</f>
        <v>0</v>
      </c>
      <c r="H24" s="25" t="n">
        <f aca="false">'Plan 1 - Actual Effort'!C11-F24</f>
        <v>0</v>
      </c>
    </row>
    <row r="25" customFormat="false" ht="39.75" hidden="false" customHeight="true" outlineLevel="0" collapsed="false">
      <c r="D25" s="11" t="str">
        <f aca="false">'Plan 1 - Actual Effort'!A12</f>
        <v>API optimization — gate/remove always-on debug prints, then cache/paginate/de-dupe across ~180-190 wired calls</v>
      </c>
      <c r="E25" s="14" t="n">
        <v>0</v>
      </c>
      <c r="F25" s="14" t="n">
        <v>0</v>
      </c>
      <c r="G25" s="25" t="n">
        <f aca="false">'Plan 1 - Actual Effort'!B12-E25</f>
        <v>7</v>
      </c>
      <c r="H25" s="25" t="n">
        <f aca="false">'Plan 1 - Actual Effort'!C12-F25</f>
        <v>11</v>
      </c>
    </row>
    <row r="26" customFormat="false" ht="39.75" hidden="false" customHeight="true" outlineLevel="0" collapsed="false">
      <c r="D26" s="11" t="str">
        <f aca="false">'Plan 1 - Actual Effort'!A13</f>
        <v>Sector sub-sub-sector rollout — 4 confirmed screens + small model field</v>
      </c>
      <c r="E26" s="14" t="n">
        <v>3</v>
      </c>
      <c r="F26" s="14" t="n">
        <v>5</v>
      </c>
      <c r="G26" s="25" t="n">
        <f aca="false">'Plan 1 - Actual Effort'!B13-E26</f>
        <v>0</v>
      </c>
      <c r="H26" s="25" t="n">
        <f aca="false">'Plan 1 - Actual Effort'!C13-F26</f>
        <v>0</v>
      </c>
    </row>
    <row r="27" customFormat="false" ht="15" hidden="false" customHeight="false" outlineLevel="0" collapsed="false">
      <c r="D27" s="15" t="s">
        <v>173</v>
      </c>
      <c r="E27" s="16" t="n">
        <f aca="false">SUM(E17:E26)</f>
        <v>24.5</v>
      </c>
      <c r="F27" s="16" t="n">
        <f aca="false">SUM(F17:F26)</f>
        <v>40.5</v>
      </c>
      <c r="G27" s="16" t="n">
        <f aca="false">SUM(G17:G26)</f>
        <v>24.5</v>
      </c>
      <c r="H27" s="16" t="n">
        <f aca="false">SUM(H17:H26)</f>
        <v>35.5</v>
      </c>
    </row>
    <row r="29" customFormat="false" ht="45" hidden="false" customHeight="true" outlineLevel="0" collapsed="false">
      <c r="D29" s="19" t="s">
        <v>174</v>
      </c>
      <c r="E29" s="19"/>
      <c r="F29" s="19"/>
      <c r="G29" s="19"/>
      <c r="H29" s="19"/>
    </row>
  </sheetData>
  <mergeCells count="6">
    <mergeCell ref="A1:B1"/>
    <mergeCell ref="A2:B2"/>
    <mergeCell ref="A12:B12"/>
    <mergeCell ref="D14:H14"/>
    <mergeCell ref="D15:H15"/>
    <mergeCell ref="D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5.5" hidden="false" customHeight="true" outlineLevel="0" collapsed="false">
      <c r="A1" s="30" t="s">
        <v>175</v>
      </c>
    </row>
    <row r="3" customFormat="false" ht="259.5" hidden="false" customHeight="true" outlineLevel="0" collapsed="false">
      <c r="A3" s="11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2026-09-11T10:52:35Z</dcterms:created>
  <dc:creator>openpyxl</dc:creator>
  <dc:description/>
  <dc:language>en-US</dc:language>
  <cp:lastModifiedBy/>
  <dcterms:modified xsi:type="dcterms:W3CDTF">2026-09-11T10:52:35Z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